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5/"/>
    </mc:Choice>
  </mc:AlternateContent>
  <xr:revisionPtr revIDLastSave="0" documentId="13_ncr:1_{702DD188-2F5E-124E-BD8A-E9E1AAFBB8C6}" xr6:coauthVersionLast="47" xr6:coauthVersionMax="47" xr10:uidLastSave="{00000000-0000-0000-0000-000000000000}"/>
  <bookViews>
    <workbookView xWindow="0" yWindow="760" windowWidth="31160" windowHeight="177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/>
  <c r="H40" i="1"/>
  <c r="I40" i="1"/>
  <c r="F40" i="1"/>
  <c r="G40" i="1"/>
  <c r="D40" i="1"/>
  <c r="E40" i="1"/>
  <c r="J39" i="1"/>
  <c r="K39" i="1"/>
  <c r="H39" i="1"/>
  <c r="I39" i="1"/>
  <c r="F39" i="1"/>
  <c r="G39" i="1"/>
  <c r="D39" i="1"/>
  <c r="E39" i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/>
  <c r="H28" i="1"/>
  <c r="I28" i="1"/>
  <c r="F28" i="1"/>
  <c r="G28" i="1"/>
  <c r="D28" i="1"/>
  <c r="E28" i="1"/>
  <c r="J27" i="1"/>
  <c r="K27" i="1" s="1"/>
  <c r="K33" i="1" s="1"/>
  <c r="H27" i="1"/>
  <c r="I27" i="1" s="1"/>
  <c r="I33" i="1" s="1"/>
  <c r="F27" i="1"/>
  <c r="G27" i="1" s="1"/>
  <c r="G33" i="1" s="1"/>
  <c r="D27" i="1"/>
  <c r="E27" i="1" s="1"/>
  <c r="E33" i="1" s="1"/>
  <c r="J26" i="1"/>
  <c r="K26" i="1"/>
  <c r="H26" i="1"/>
  <c r="I26" i="1"/>
  <c r="F26" i="1"/>
  <c r="G26" i="1"/>
  <c r="D26" i="1"/>
  <c r="E26" i="1"/>
  <c r="E72" i="1"/>
  <c r="G46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C46" i="1"/>
  <c r="C47" i="1"/>
  <c r="C6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E20" i="1" s="1"/>
  <c r="C20" i="1" s="1"/>
  <c r="C21" i="1" s="1"/>
  <c r="C4" i="1" s="1"/>
  <c r="E4" i="1" s="1"/>
  <c r="D15" i="1"/>
  <c r="E15" i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K20" i="1" s="1"/>
  <c r="H14" i="1"/>
  <c r="I14" i="1" s="1"/>
  <c r="I20" i="1" s="1"/>
  <c r="F14" i="1"/>
  <c r="G14" i="1" s="1"/>
  <c r="G20" i="1" s="1"/>
  <c r="J13" i="1"/>
  <c r="K13" i="1"/>
  <c r="H13" i="1"/>
  <c r="I13" i="1"/>
  <c r="F13" i="1"/>
  <c r="G13" i="1"/>
  <c r="E6" i="1"/>
  <c r="C33" i="1" l="1"/>
  <c r="C34" i="1" s="1"/>
  <c r="C5" i="1" s="1"/>
  <c r="E5" i="1" s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<sst xmlns="http://schemas.openxmlformats.org/spreadsheetml/2006/main" count="164" uniqueCount="66">
  <si>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</si>
  <si>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</si>
  <si>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</si>
  <si>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</si>
  <si>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</si>
  <si>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</si>
  <si>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</si>
  <si>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</si>
  <si>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</si>
  <si>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</si>
  <si>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</si>
  <si>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</si>
  <si>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</si>
  <si>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</si>
  <si>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</si>
  <si>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</si>
  <si>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</si>
  <si>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</si>
  <si>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</si>
  <si>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</si>
  <si>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</si>
  <si>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</si>
  <si>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</si>
  <si>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</si>
  <si>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</si>
  <si>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</si>
  <si>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</si>
  <si>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</si>
  <si>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</si>
  <si>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</si>
  <si>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</si>
  <si>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</si>
  <si>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</si>
  <si>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</si>
  <si>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</si>
  <si>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</si>
  <si>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</si>
  <si>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</si>
  <si>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</si>
  <si>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</si>
  <si>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</si>
  <si>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</si>
  <si>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</si>
  <si>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</si>
  <si>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</si>
  <si>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</si>
  <si>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</si>
  <si>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</si>
  <si>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</si>
  <si>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</si>
  <si>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</si>
  <si>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</si>
  <si>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</si>
  <si>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</si>
  <si>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</si>
  <si>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</si>
  <si>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</si>
  <si>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</si>
  <si>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</si>
  <si>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</si>
  <si>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</si>
  <si>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</si>
  <si>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</si>
  <si>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Vicente Chacon</t>
  </si>
  <si>
    <t>Fabian Muñoz</t>
  </si>
  <si>
    <t>Slides de Obstáculos y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</si>
</sst>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88" zoomScale="120" zoomScaleNormal="120" workbookViewId="0">
      <selection activeCell="B91" sqref="B91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9">
        <v>0.7</v>
      </c>
      <c r="D2" s="32">
        <v>0.3</v>
      </c>
      <c r="E2" s="33">
        <v>1</v>
      </c>
    </row>
    <row r="3" spans="1:11" ht="16" x14ac:dyDescent="0.2">
      <c r="B3" s="2" t="s">
        <v>0</v>
      </c>
      <c r="C3" s="30" t="s">
        <v>1</v>
      </c>
      <c r="D3" s="34" t="s">
        <v>2</v>
      </c>
      <c r="E3" s="35" t="s">
        <v>3</v>
      </c>
    </row>
    <row r="4" spans="1:11" ht="17" x14ac:dyDescent="0.2">
      <c r="A4" s="3">
        <v>1</v>
      </c>
      <c r="B4" s="39" t="s">
        <v>63</v>
      </c>
      <c r="C4" s="31">
        <f>C21</f>
        <v>6.3</v>
      </c>
      <c r="D4" s="37">
        <f>C60</f>
        <v>7</v>
      </c>
      <c r="E4" s="36">
        <f>C4*C$2+D4*D$2</f>
        <v>6.51</v>
      </c>
    </row>
    <row r="5" spans="1:11" ht="17" x14ac:dyDescent="0.2">
      <c r="A5" s="3">
        <v>2</v>
      </c>
      <c r="B5" s="39" t="s">
        <v>64</v>
      </c>
      <c r="C5" s="31">
        <f>C34</f>
        <v>6.3</v>
      </c>
      <c r="D5" s="37">
        <f>C73</f>
        <v>7</v>
      </c>
      <c r="E5" s="36">
        <f t="shared" ref="E5:E6" si="0">C5*C$2+D5*D$2</f>
        <v>6.51</v>
      </c>
    </row>
    <row r="6" spans="1:11" x14ac:dyDescent="0.2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9" outlineLevel="1" x14ac:dyDescent="0.2">
      <c r="A11" s="49" t="s">
        <v>4</v>
      </c>
      <c r="B11" s="11" t="str">
        <f>B4</f>
        <v>Vicente Chacon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6" outlineLevel="1" x14ac:dyDescent="0.2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1"/>
      <c r="B20" s="18" t="s">
        <v>12</v>
      </c>
      <c r="C20" s="22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3"/>
      <c r="B21" s="21" t="s">
        <v>13</v>
      </c>
      <c r="C21" s="14">
        <f>VLOOKUP(C20,ESCALA_IEP!A2:B202,2,FALSE)</f>
        <v>6.3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9" t="s">
        <v>4</v>
      </c>
      <c r="B24" s="11" t="str">
        <f>B5</f>
        <v>Fabian Muñoz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1"/>
      <c r="B33" s="18" t="s">
        <v>12</v>
      </c>
      <c r="C33" s="22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3"/>
      <c r="B34" s="21" t="s">
        <v>13</v>
      </c>
      <c r="C34" s="14">
        <f>VLOOKUP(C33,ESCALA_IEP!A15:B215,2,FALSE)</f>
        <v>6.3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9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0" t="s">
        <v>14</v>
      </c>
      <c r="B50" s="11" t="str">
        <f>B4</f>
        <v>Vicente Chacon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0" t="s">
        <v>15</v>
      </c>
      <c r="B63" s="11" t="str">
        <f>B5</f>
        <v>Fabian Muñoz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0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65</v>
      </c>
    </row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ht="16" x14ac:dyDescent="0.2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">
      <c r="A3" s="51"/>
      <c r="B3" s="56"/>
      <c r="C3" s="56"/>
      <c r="D3" s="27">
        <v>0.3</v>
      </c>
      <c r="E3" s="27">
        <v>0</v>
      </c>
      <c r="F3" s="51"/>
    </row>
    <row r="4" spans="1:6" ht="105" x14ac:dyDescent="0.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7" customHeight="1" x14ac:dyDescent="0.2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0" x14ac:dyDescent="0.2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0" x14ac:dyDescent="0.2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0" x14ac:dyDescent="0.2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7" t="s">
        <v>60</v>
      </c>
      <c r="B1" s="4" t="s">
        <v>12</v>
      </c>
      <c r="C1" s="5"/>
      <c r="D1" s="5"/>
      <c r="E1" s="6"/>
    </row>
    <row r="2" spans="1:5" ht="49" thickBot="1" x14ac:dyDescent="0.2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2025-12-10T01:14:39Z</dcterms:modified>
  <cp:category/>
  <cp:contentStatus/>
</cp:coreProperties>
</file>